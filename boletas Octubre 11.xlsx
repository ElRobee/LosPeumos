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 defaultThemeVersion="124226"/>
  <bookViews>
    <workbookView xWindow="-105" yWindow="-105" windowWidth="19425" windowHeight="10305"/>
  </bookViews>
  <sheets>
    <sheet name="Sept-25" sheetId="1" r:id="rId1"/>
  </sheets>
  <definedNames>
    <definedName name="_xlnm._FilterDatabase" localSheetId="0" hidden="1">'Sept-25'!$H$2:$H$74</definedName>
  </definedName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"/>
  <c r="F3" s="1"/>
  <c r="E4"/>
  <c r="F4"/>
  <c r="H4" s="1"/>
  <c r="E5"/>
  <c r="E63" s="1"/>
  <c r="F5"/>
  <c r="H5" s="1"/>
  <c r="E6"/>
  <c r="F6" s="1"/>
  <c r="H6" s="1"/>
  <c r="E7"/>
  <c r="F7" s="1"/>
  <c r="H7" s="1"/>
  <c r="E8"/>
  <c r="F8" s="1"/>
  <c r="H8" s="1"/>
  <c r="E9"/>
  <c r="F9" s="1"/>
  <c r="H9" s="1"/>
  <c r="E10"/>
  <c r="F10"/>
  <c r="H10" s="1"/>
  <c r="E11"/>
  <c r="F11"/>
  <c r="H11" s="1"/>
  <c r="E12"/>
  <c r="F12"/>
  <c r="H12" s="1"/>
  <c r="E13"/>
  <c r="F13"/>
  <c r="H13" s="1"/>
  <c r="E14"/>
  <c r="F14" s="1"/>
  <c r="H14" s="1"/>
  <c r="E15"/>
  <c r="F15" s="1"/>
  <c r="H15" s="1"/>
  <c r="E16"/>
  <c r="F16" s="1"/>
  <c r="H16" s="1"/>
  <c r="E17"/>
  <c r="F17" s="1"/>
  <c r="H17" s="1"/>
  <c r="E18"/>
  <c r="F18"/>
  <c r="H18" s="1"/>
  <c r="E19"/>
  <c r="F19"/>
  <c r="H19" s="1"/>
  <c r="E20"/>
  <c r="F20"/>
  <c r="H20" s="1"/>
  <c r="E21"/>
  <c r="F21"/>
  <c r="H21" s="1"/>
  <c r="E22"/>
  <c r="F22" s="1"/>
  <c r="H22" s="1"/>
  <c r="E23"/>
  <c r="F23" s="1"/>
  <c r="H23" s="1"/>
  <c r="E24"/>
  <c r="F24" s="1"/>
  <c r="H24" s="1"/>
  <c r="E25"/>
  <c r="F25"/>
  <c r="H25" s="1"/>
  <c r="E26"/>
  <c r="F26"/>
  <c r="H26" s="1"/>
  <c r="E27"/>
  <c r="F27"/>
  <c r="H27" s="1"/>
  <c r="E28"/>
  <c r="F28"/>
  <c r="H28" s="1"/>
  <c r="E29"/>
  <c r="F29"/>
  <c r="H29" s="1"/>
  <c r="E30"/>
  <c r="F30" s="1"/>
  <c r="H30" s="1"/>
  <c r="E31"/>
  <c r="F31" s="1"/>
  <c r="H31" s="1"/>
  <c r="E32"/>
  <c r="F32" s="1"/>
  <c r="H32" s="1"/>
  <c r="E33"/>
  <c r="F33"/>
  <c r="H33" s="1"/>
  <c r="E34"/>
  <c r="F34"/>
  <c r="H34" s="1"/>
  <c r="E35"/>
  <c r="F35"/>
  <c r="H35" s="1"/>
  <c r="E36"/>
  <c r="F36"/>
  <c r="H36" s="1"/>
  <c r="E37"/>
  <c r="F37"/>
  <c r="H37" s="1"/>
  <c r="E38"/>
  <c r="F38" s="1"/>
  <c r="H38" s="1"/>
  <c r="E39"/>
  <c r="F39" s="1"/>
  <c r="H39" s="1"/>
  <c r="E40"/>
  <c r="F40" s="1"/>
  <c r="H40" s="1"/>
  <c r="E41"/>
  <c r="F41"/>
  <c r="H41" s="1"/>
  <c r="E42"/>
  <c r="F42"/>
  <c r="H42" s="1"/>
  <c r="E43"/>
  <c r="F43"/>
  <c r="H43" s="1"/>
  <c r="E44"/>
  <c r="F44"/>
  <c r="H44" s="1"/>
  <c r="E45"/>
  <c r="F45"/>
  <c r="H45" s="1"/>
  <c r="E46"/>
  <c r="F46" s="1"/>
  <c r="H46" s="1"/>
  <c r="E47"/>
  <c r="F47" s="1"/>
  <c r="H47" s="1"/>
  <c r="E48"/>
  <c r="F48" s="1"/>
  <c r="H48" s="1"/>
  <c r="E49"/>
  <c r="F49"/>
  <c r="H49" s="1"/>
  <c r="E50"/>
  <c r="F50"/>
  <c r="H50" s="1"/>
  <c r="E51"/>
  <c r="F51"/>
  <c r="H51" s="1"/>
  <c r="E52"/>
  <c r="F52"/>
  <c r="H52" s="1"/>
  <c r="E53"/>
  <c r="F53"/>
  <c r="H53" s="1"/>
  <c r="E54"/>
  <c r="F54" s="1"/>
  <c r="H54" s="1"/>
  <c r="E55"/>
  <c r="F55" s="1"/>
  <c r="H55" s="1"/>
  <c r="E56"/>
  <c r="F56" s="1"/>
  <c r="H56" s="1"/>
  <c r="E57"/>
  <c r="F57"/>
  <c r="H57" s="1"/>
  <c r="E58"/>
  <c r="F58"/>
  <c r="H58" s="1"/>
  <c r="E59"/>
  <c r="F59"/>
  <c r="H59" s="1"/>
  <c r="E60"/>
  <c r="F60"/>
  <c r="H60" s="1"/>
  <c r="E61"/>
  <c r="F61"/>
  <c r="H61" s="1"/>
  <c r="E62"/>
  <c r="F62" s="1"/>
  <c r="H62" s="1"/>
  <c r="G63"/>
  <c r="C71"/>
  <c r="H3" l="1"/>
  <c r="H63" s="1"/>
  <c r="C74" s="1"/>
  <c r="F63"/>
</calcChain>
</file>

<file path=xl/sharedStrings.xml><?xml version="1.0" encoding="utf-8"?>
<sst xmlns="http://schemas.openxmlformats.org/spreadsheetml/2006/main" count="92" uniqueCount="91">
  <si>
    <t>Saldo a Favor</t>
  </si>
  <si>
    <t>Valor KW</t>
  </si>
  <si>
    <t>Valor KW Real</t>
  </si>
  <si>
    <t>Fecha Vencimiento</t>
  </si>
  <si>
    <t>Total a Pagar Chilquinta</t>
  </si>
  <si>
    <t>Consumo General KW</t>
  </si>
  <si>
    <t>N° Boleta</t>
  </si>
  <si>
    <t>Andres Miranda</t>
  </si>
  <si>
    <t>Darkis Chacon</t>
  </si>
  <si>
    <t>Jorge Farfan</t>
  </si>
  <si>
    <t>Ingrid Gonzalez</t>
  </si>
  <si>
    <t>Karent Arancibia</t>
  </si>
  <si>
    <t>Carmen Pizarro</t>
  </si>
  <si>
    <t>Francesca Reyes</t>
  </si>
  <si>
    <t>Raquel Roa</t>
  </si>
  <si>
    <t>Andres Valenzuela</t>
  </si>
  <si>
    <t>Carlos Allende</t>
  </si>
  <si>
    <t>Angelica Navarrete</t>
  </si>
  <si>
    <t>Marcelo Gonzalez</t>
  </si>
  <si>
    <t>Camila Arredondo</t>
  </si>
  <si>
    <t>Edwin Quezada</t>
  </si>
  <si>
    <t>Cesar Negrete</t>
  </si>
  <si>
    <t>Joselyn Moore</t>
  </si>
  <si>
    <t>Juan Perez</t>
  </si>
  <si>
    <t>Berta Pizarro</t>
  </si>
  <si>
    <t>Jairo Carvajal</t>
  </si>
  <si>
    <t>Boris Castro</t>
  </si>
  <si>
    <t>Margot Rabello</t>
  </si>
  <si>
    <t>Gerardo Manriquez</t>
  </si>
  <si>
    <t>Freddy Olivares</t>
  </si>
  <si>
    <t>Gladys Arriagada</t>
  </si>
  <si>
    <t>51B</t>
  </si>
  <si>
    <t>German Alvarez</t>
  </si>
  <si>
    <t>51A</t>
  </si>
  <si>
    <t>Guillermo Salgado</t>
  </si>
  <si>
    <t>Juan Carlos Quezada</t>
  </si>
  <si>
    <t>48B</t>
  </si>
  <si>
    <t>Marisol Muñoz</t>
  </si>
  <si>
    <t>48A</t>
  </si>
  <si>
    <t>Edith Castro</t>
  </si>
  <si>
    <t>Luz Burrows</t>
  </si>
  <si>
    <t>Pablo Veas</t>
  </si>
  <si>
    <t>Zacarias Perez</t>
  </si>
  <si>
    <t>Arnaldo Orellana</t>
  </si>
  <si>
    <t>41B</t>
  </si>
  <si>
    <t>Belgica</t>
  </si>
  <si>
    <t>36B</t>
  </si>
  <si>
    <t>Tania Nuñez</t>
  </si>
  <si>
    <t>36A</t>
  </si>
  <si>
    <t>Carolina Ibacache</t>
  </si>
  <si>
    <t>35A</t>
  </si>
  <si>
    <t xml:space="preserve">Gloria Caceres </t>
  </si>
  <si>
    <t>Evelyn Caceres</t>
  </si>
  <si>
    <t>Fernando Quezada</t>
  </si>
  <si>
    <t>Marlene Gonzalez</t>
  </si>
  <si>
    <t>28B</t>
  </si>
  <si>
    <t>Marcela Ortiz</t>
  </si>
  <si>
    <t>28A</t>
  </si>
  <si>
    <t>Cyntia Urrutia</t>
  </si>
  <si>
    <t>26B</t>
  </si>
  <si>
    <t>Eduardo Hernandez</t>
  </si>
  <si>
    <t>26A</t>
  </si>
  <si>
    <t>Jesus Arancibia</t>
  </si>
  <si>
    <t>Catalina Chamorro</t>
  </si>
  <si>
    <t>Francisco Muñoz</t>
  </si>
  <si>
    <t>Jose Lillo</t>
  </si>
  <si>
    <t>20A</t>
  </si>
  <si>
    <t>Efrain Duarte/Jeanette Campos</t>
  </si>
  <si>
    <t>Cesar Escobar</t>
  </si>
  <si>
    <t>18A</t>
  </si>
  <si>
    <t>Cesar Miranda</t>
  </si>
  <si>
    <t>Mauricio Parra</t>
  </si>
  <si>
    <t>Anibal Miranda</t>
  </si>
  <si>
    <t>Isabel Jimenez/Tomas</t>
  </si>
  <si>
    <t>Andrea Ramirez</t>
  </si>
  <si>
    <t>Juan Miranda</t>
  </si>
  <si>
    <t>Jessica Vilches</t>
  </si>
  <si>
    <t>6B</t>
  </si>
  <si>
    <t>Daniela Ramos</t>
  </si>
  <si>
    <t>6A</t>
  </si>
  <si>
    <t>Sebastian Varas</t>
  </si>
  <si>
    <t>Porton</t>
  </si>
  <si>
    <t>Presidente Comunidad</t>
  </si>
  <si>
    <t>Total</t>
  </si>
  <si>
    <t>Cargo Fijo</t>
  </si>
  <si>
    <t>Valor Neto</t>
  </si>
  <si>
    <t>KW Consumo</t>
  </si>
  <si>
    <t>Consumo Actual</t>
  </si>
  <si>
    <t>Consumo Anterior</t>
  </si>
  <si>
    <t>Parcela</t>
  </si>
  <si>
    <t>Nombre</t>
  </si>
</sst>
</file>

<file path=xl/styles.xml><?xml version="1.0" encoding="utf-8"?>
<styleSheet xmlns="http://schemas.openxmlformats.org/spreadsheetml/2006/main">
  <numFmts count="3">
    <numFmt numFmtId="164" formatCode="&quot;$&quot;#,##0;[Red]&quot;$&quot;\-#,##0"/>
    <numFmt numFmtId="165" formatCode="_ &quot;$&quot;* #,##0_ ;_ &quot;$&quot;* \-#,##0_ ;_ &quot;$&quot;* &quot;-&quot;_ ;_ @_ "/>
    <numFmt numFmtId="166" formatCode="_ &quot;$&quot;* #,##0.0_ ;_ &quot;$&quot;* \-#,##0.0_ ;_ &quot;$&quot;* &quot;-&quot;_ ;_ @_ 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7"/>
      <color rgb="FF696969"/>
      <name val="Arial"/>
      <family val="2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59">
    <xf numFmtId="0" fontId="0" fillId="0" borderId="0" xfId="0"/>
    <xf numFmtId="165" fontId="3" fillId="2" borderId="1" xfId="0" applyNumberFormat="1" applyFont="1" applyFill="1" applyBorder="1"/>
    <xf numFmtId="0" fontId="2" fillId="2" borderId="2" xfId="0" applyFont="1" applyFill="1" applyBorder="1" applyAlignment="1">
      <alignment horizontal="left"/>
    </xf>
    <xf numFmtId="164" fontId="0" fillId="0" borderId="0" xfId="0" applyNumberFormat="1"/>
    <xf numFmtId="165" fontId="2" fillId="2" borderId="3" xfId="1" applyFont="1" applyFill="1" applyBorder="1" applyAlignment="1">
      <alignment horizontal="left"/>
    </xf>
    <xf numFmtId="0" fontId="2" fillId="2" borderId="4" xfId="0" applyFont="1" applyFill="1" applyBorder="1" applyAlignment="1">
      <alignment horizontal="left"/>
    </xf>
    <xf numFmtId="166" fontId="0" fillId="0" borderId="5" xfId="1" applyNumberFormat="1" applyFont="1" applyBorder="1"/>
    <xf numFmtId="0" fontId="2" fillId="0" borderId="6" xfId="0" applyFont="1" applyBorder="1" applyAlignment="1">
      <alignment horizontal="left"/>
    </xf>
    <xf numFmtId="16" fontId="0" fillId="0" borderId="0" xfId="0" applyNumberFormat="1"/>
    <xf numFmtId="0" fontId="2" fillId="0" borderId="0" xfId="0" applyFont="1" applyAlignment="1">
      <alignment horizontal="left"/>
    </xf>
    <xf numFmtId="0" fontId="4" fillId="0" borderId="0" xfId="0" applyFont="1"/>
    <xf numFmtId="16" fontId="0" fillId="0" borderId="3" xfId="0" applyNumberFormat="1" applyBorder="1" applyAlignment="1">
      <alignment horizontal="center" vertical="center"/>
    </xf>
    <xf numFmtId="0" fontId="2" fillId="0" borderId="4" xfId="0" applyFont="1" applyBorder="1" applyAlignment="1">
      <alignment horizontal="left" wrapText="1"/>
    </xf>
    <xf numFmtId="164" fontId="3" fillId="0" borderId="7" xfId="1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left" wrapText="1"/>
    </xf>
    <xf numFmtId="0" fontId="0" fillId="0" borderId="7" xfId="0" applyBorder="1" applyAlignment="1">
      <alignment horizontal="center" vertical="center" wrapText="1"/>
    </xf>
    <xf numFmtId="165" fontId="3" fillId="0" borderId="0" xfId="0" applyNumberFormat="1" applyFont="1"/>
    <xf numFmtId="165" fontId="0" fillId="0" borderId="0" xfId="0" applyNumberFormat="1"/>
    <xf numFmtId="0" fontId="0" fillId="0" borderId="9" xfId="0" applyBorder="1" applyAlignment="1">
      <alignment horizontal="center"/>
    </xf>
    <xf numFmtId="0" fontId="2" fillId="0" borderId="10" xfId="0" applyFont="1" applyBorder="1" applyAlignment="1">
      <alignment horizontal="left"/>
    </xf>
    <xf numFmtId="0" fontId="3" fillId="0" borderId="0" xfId="0" applyFont="1" applyAlignment="1">
      <alignment horizontal="center"/>
    </xf>
    <xf numFmtId="0" fontId="0" fillId="4" borderId="0" xfId="0" applyFill="1" applyAlignment="1">
      <alignment horizontal="center"/>
    </xf>
    <xf numFmtId="165" fontId="0" fillId="0" borderId="11" xfId="0" applyNumberFormat="1" applyBorder="1"/>
    <xf numFmtId="165" fontId="0" fillId="4" borderId="12" xfId="1" applyFont="1" applyFill="1" applyBorder="1"/>
    <xf numFmtId="165" fontId="0" fillId="4" borderId="11" xfId="0" applyNumberFormat="1" applyFill="1" applyBorder="1"/>
    <xf numFmtId="0" fontId="0" fillId="4" borderId="12" xfId="0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4" borderId="11" xfId="0" applyFill="1" applyBorder="1" applyAlignment="1">
      <alignment horizontal="center"/>
    </xf>
    <xf numFmtId="0" fontId="0" fillId="0" borderId="13" xfId="0" applyBorder="1"/>
    <xf numFmtId="165" fontId="0" fillId="0" borderId="14" xfId="0" applyNumberFormat="1" applyBorder="1"/>
    <xf numFmtId="165" fontId="0" fillId="4" borderId="0" xfId="1" applyFont="1" applyFill="1" applyBorder="1"/>
    <xf numFmtId="165" fontId="0" fillId="4" borderId="14" xfId="0" applyNumberFormat="1" applyFill="1" applyBorder="1"/>
    <xf numFmtId="0" fontId="0" fillId="0" borderId="14" xfId="0" applyBorder="1" applyAlignment="1">
      <alignment horizontal="center"/>
    </xf>
    <xf numFmtId="0" fontId="0" fillId="4" borderId="14" xfId="0" applyFill="1" applyBorder="1" applyAlignment="1">
      <alignment horizontal="center"/>
    </xf>
    <xf numFmtId="0" fontId="0" fillId="0" borderId="15" xfId="0" applyBorder="1"/>
    <xf numFmtId="3" fontId="0" fillId="4" borderId="0" xfId="0" applyNumberFormat="1" applyFill="1"/>
    <xf numFmtId="0" fontId="0" fillId="3" borderId="14" xfId="0" applyFill="1" applyBorder="1" applyAlignment="1">
      <alignment horizontal="center"/>
    </xf>
    <xf numFmtId="3" fontId="0" fillId="0" borderId="0" xfId="0" applyNumberFormat="1"/>
    <xf numFmtId="0" fontId="5" fillId="4" borderId="15" xfId="0" applyFont="1" applyFill="1" applyBorder="1"/>
    <xf numFmtId="0" fontId="2" fillId="0" borderId="0" xfId="0" applyFont="1"/>
    <xf numFmtId="0" fontId="0" fillId="0" borderId="0" xfId="0" applyAlignment="1">
      <alignment horizontal="center"/>
    </xf>
    <xf numFmtId="165" fontId="0" fillId="0" borderId="0" xfId="1" applyFont="1" applyFill="1" applyBorder="1"/>
    <xf numFmtId="0" fontId="0" fillId="4" borderId="15" xfId="0" applyFill="1" applyBorder="1"/>
    <xf numFmtId="0" fontId="5" fillId="0" borderId="14" xfId="0" applyFont="1" applyBorder="1" applyAlignment="1">
      <alignment horizontal="center"/>
    </xf>
    <xf numFmtId="0" fontId="5" fillId="4" borderId="14" xfId="0" applyFont="1" applyFill="1" applyBorder="1" applyAlignment="1">
      <alignment horizontal="center"/>
    </xf>
    <xf numFmtId="165" fontId="0" fillId="0" borderId="16" xfId="0" applyNumberFormat="1" applyBorder="1"/>
    <xf numFmtId="165" fontId="0" fillId="4" borderId="17" xfId="1" applyFont="1" applyFill="1" applyBorder="1"/>
    <xf numFmtId="165" fontId="0" fillId="4" borderId="16" xfId="0" applyNumberFormat="1" applyFill="1" applyBorder="1"/>
    <xf numFmtId="0" fontId="0" fillId="4" borderId="17" xfId="0" applyFill="1" applyBorder="1" applyAlignment="1">
      <alignment horizontal="center"/>
    </xf>
    <xf numFmtId="0" fontId="5" fillId="4" borderId="16" xfId="0" applyFont="1" applyFill="1" applyBorder="1" applyAlignment="1">
      <alignment horizontal="center"/>
    </xf>
    <xf numFmtId="0" fontId="0" fillId="4" borderId="16" xfId="0" applyFill="1" applyBorder="1" applyAlignment="1">
      <alignment horizontal="center"/>
    </xf>
    <xf numFmtId="0" fontId="0" fillId="0" borderId="18" xfId="0" applyBorder="1"/>
    <xf numFmtId="0" fontId="2" fillId="2" borderId="16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 wrapText="1"/>
    </xf>
    <xf numFmtId="0" fontId="2" fillId="2" borderId="19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 wrapText="1"/>
    </xf>
    <xf numFmtId="0" fontId="2" fillId="2" borderId="21" xfId="0" applyFont="1" applyFill="1" applyBorder="1" applyAlignment="1">
      <alignment horizontal="center" vertical="center" wrapText="1"/>
    </xf>
    <xf numFmtId="0" fontId="2" fillId="2" borderId="20" xfId="0" applyFont="1" applyFill="1" applyBorder="1" applyAlignment="1">
      <alignment horizontal="center" vertical="center"/>
    </xf>
  </cellXfs>
  <cellStyles count="2"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J74"/>
  <sheetViews>
    <sheetView tabSelected="1" topLeftCell="A49" zoomScale="70" zoomScaleNormal="70" workbookViewId="0">
      <selection activeCell="E70" sqref="E70"/>
    </sheetView>
  </sheetViews>
  <sheetFormatPr baseColWidth="10" defaultRowHeight="15"/>
  <cols>
    <col min="1" max="1" width="26.7109375" customWidth="1"/>
    <col min="2" max="2" width="12.85546875" customWidth="1"/>
    <col min="3" max="3" width="14.140625" customWidth="1"/>
    <col min="6" max="6" width="15.28515625" bestFit="1" customWidth="1"/>
    <col min="8" max="8" width="15.28515625" bestFit="1" customWidth="1"/>
    <col min="9" max="9" width="14.42578125" customWidth="1"/>
    <col min="10" max="10" width="15.140625" customWidth="1"/>
  </cols>
  <sheetData>
    <row r="2" spans="1:9" ht="30">
      <c r="A2" s="58" t="s">
        <v>90</v>
      </c>
      <c r="B2" s="58" t="s">
        <v>89</v>
      </c>
      <c r="C2" s="57" t="s">
        <v>88</v>
      </c>
      <c r="D2" s="56" t="s">
        <v>87</v>
      </c>
      <c r="E2" s="55" t="s">
        <v>86</v>
      </c>
      <c r="F2" s="54" t="s">
        <v>85</v>
      </c>
      <c r="G2" s="53" t="s">
        <v>84</v>
      </c>
      <c r="H2" s="52" t="s">
        <v>83</v>
      </c>
    </row>
    <row r="3" spans="1:9">
      <c r="A3" s="51" t="s">
        <v>82</v>
      </c>
      <c r="B3" s="50" t="s">
        <v>81</v>
      </c>
      <c r="C3" s="49">
        <v>1980</v>
      </c>
      <c r="D3" s="49">
        <v>2031</v>
      </c>
      <c r="E3" s="48">
        <f t="shared" ref="E3:E34" si="0">D3-C3</f>
        <v>51</v>
      </c>
      <c r="F3" s="47">
        <f t="shared" ref="F3:F34" si="1">$C$72*E3</f>
        <v>14841</v>
      </c>
      <c r="G3" s="46">
        <v>2000</v>
      </c>
      <c r="H3" s="45">
        <f t="shared" ref="H3:H34" si="2">G3+F3</f>
        <v>16841</v>
      </c>
    </row>
    <row r="4" spans="1:9">
      <c r="A4" s="34" t="s">
        <v>80</v>
      </c>
      <c r="B4" s="33">
        <v>4</v>
      </c>
      <c r="C4" s="44">
        <v>6684</v>
      </c>
      <c r="D4" s="44">
        <v>6850</v>
      </c>
      <c r="E4" s="21">
        <f t="shared" si="0"/>
        <v>166</v>
      </c>
      <c r="F4" s="31">
        <f t="shared" si="1"/>
        <v>48306</v>
      </c>
      <c r="G4" s="30">
        <v>2000</v>
      </c>
      <c r="H4" s="29">
        <f t="shared" si="2"/>
        <v>50306</v>
      </c>
    </row>
    <row r="5" spans="1:9">
      <c r="A5" s="38" t="s">
        <v>78</v>
      </c>
      <c r="B5" s="33" t="s">
        <v>79</v>
      </c>
      <c r="C5" s="44">
        <v>29878</v>
      </c>
      <c r="D5" s="44">
        <v>30303</v>
      </c>
      <c r="E5" s="21">
        <f t="shared" si="0"/>
        <v>425</v>
      </c>
      <c r="F5" s="31">
        <f t="shared" si="1"/>
        <v>123675</v>
      </c>
      <c r="G5" s="30">
        <v>2000</v>
      </c>
      <c r="H5" s="29">
        <f t="shared" si="2"/>
        <v>125675</v>
      </c>
      <c r="I5" s="39"/>
    </row>
    <row r="6" spans="1:9">
      <c r="A6" s="42" t="s">
        <v>78</v>
      </c>
      <c r="B6" s="33" t="s">
        <v>77</v>
      </c>
      <c r="C6" s="44">
        <v>7577</v>
      </c>
      <c r="D6" s="44">
        <v>7857</v>
      </c>
      <c r="E6" s="21">
        <f t="shared" si="0"/>
        <v>280</v>
      </c>
      <c r="F6" s="31">
        <f t="shared" si="1"/>
        <v>81480</v>
      </c>
      <c r="G6" s="30">
        <v>2000</v>
      </c>
      <c r="H6" s="29">
        <f t="shared" si="2"/>
        <v>83480</v>
      </c>
    </row>
    <row r="7" spans="1:9">
      <c r="A7" s="34" t="s">
        <v>76</v>
      </c>
      <c r="B7" s="33">
        <v>7</v>
      </c>
      <c r="C7" s="44">
        <v>16111</v>
      </c>
      <c r="D7" s="44">
        <v>16408</v>
      </c>
      <c r="E7" s="21">
        <f t="shared" si="0"/>
        <v>297</v>
      </c>
      <c r="F7" s="31">
        <f t="shared" si="1"/>
        <v>86427</v>
      </c>
      <c r="G7" s="30">
        <v>2000</v>
      </c>
      <c r="H7" s="29">
        <f t="shared" si="2"/>
        <v>88427</v>
      </c>
    </row>
    <row r="8" spans="1:9">
      <c r="A8" s="34" t="s">
        <v>75</v>
      </c>
      <c r="B8" s="33">
        <v>10</v>
      </c>
      <c r="C8" s="44">
        <v>3248</v>
      </c>
      <c r="D8" s="44">
        <v>3285</v>
      </c>
      <c r="E8" s="21">
        <f t="shared" si="0"/>
        <v>37</v>
      </c>
      <c r="F8" s="31">
        <f t="shared" si="1"/>
        <v>10767</v>
      </c>
      <c r="G8" s="30">
        <v>2000</v>
      </c>
      <c r="H8" s="29">
        <f t="shared" si="2"/>
        <v>12767</v>
      </c>
    </row>
    <row r="9" spans="1:9">
      <c r="A9" s="34" t="s">
        <v>74</v>
      </c>
      <c r="B9" s="33">
        <v>11</v>
      </c>
      <c r="C9" s="44">
        <v>10916</v>
      </c>
      <c r="D9" s="44">
        <v>11037</v>
      </c>
      <c r="E9" s="21">
        <f t="shared" si="0"/>
        <v>121</v>
      </c>
      <c r="F9" s="31">
        <f t="shared" si="1"/>
        <v>35211</v>
      </c>
      <c r="G9" s="30">
        <v>2000</v>
      </c>
      <c r="H9" s="29">
        <f t="shared" si="2"/>
        <v>37211</v>
      </c>
    </row>
    <row r="10" spans="1:9">
      <c r="A10" s="34" t="s">
        <v>73</v>
      </c>
      <c r="B10" s="44">
        <v>14</v>
      </c>
      <c r="C10" s="44">
        <v>1747</v>
      </c>
      <c r="D10" s="44">
        <v>1815</v>
      </c>
      <c r="E10" s="21">
        <f t="shared" si="0"/>
        <v>68</v>
      </c>
      <c r="F10" s="31">
        <f t="shared" si="1"/>
        <v>19788</v>
      </c>
      <c r="G10" s="30">
        <v>2000</v>
      </c>
      <c r="H10" s="29">
        <f t="shared" si="2"/>
        <v>21788</v>
      </c>
    </row>
    <row r="11" spans="1:9">
      <c r="A11" s="34" t="s">
        <v>72</v>
      </c>
      <c r="B11" s="44">
        <v>15</v>
      </c>
      <c r="C11" s="44">
        <v>2974</v>
      </c>
      <c r="D11" s="44">
        <v>3258</v>
      </c>
      <c r="E11" s="21">
        <f t="shared" si="0"/>
        <v>284</v>
      </c>
      <c r="F11" s="31">
        <f t="shared" si="1"/>
        <v>82644</v>
      </c>
      <c r="G11" s="30">
        <v>2000</v>
      </c>
      <c r="H11" s="29">
        <f t="shared" si="2"/>
        <v>84644</v>
      </c>
    </row>
    <row r="12" spans="1:9">
      <c r="A12" s="34" t="s">
        <v>71</v>
      </c>
      <c r="B12" s="44">
        <v>17</v>
      </c>
      <c r="C12" s="44">
        <v>6538</v>
      </c>
      <c r="D12" s="44">
        <v>6802</v>
      </c>
      <c r="E12" s="21">
        <f t="shared" si="0"/>
        <v>264</v>
      </c>
      <c r="F12" s="31">
        <f t="shared" si="1"/>
        <v>76824</v>
      </c>
      <c r="G12" s="30">
        <v>2000</v>
      </c>
      <c r="H12" s="29">
        <f t="shared" si="2"/>
        <v>78824</v>
      </c>
    </row>
    <row r="13" spans="1:9">
      <c r="A13" s="34" t="s">
        <v>70</v>
      </c>
      <c r="B13" s="44" t="s">
        <v>69</v>
      </c>
      <c r="C13" s="43">
        <v>4129</v>
      </c>
      <c r="D13" s="43">
        <v>4412</v>
      </c>
      <c r="E13" s="21">
        <f t="shared" si="0"/>
        <v>283</v>
      </c>
      <c r="F13" s="31">
        <f t="shared" si="1"/>
        <v>82353</v>
      </c>
      <c r="G13" s="30">
        <v>2000</v>
      </c>
      <c r="H13" s="29">
        <f t="shared" si="2"/>
        <v>84353</v>
      </c>
    </row>
    <row r="14" spans="1:9">
      <c r="A14" s="34" t="s">
        <v>68</v>
      </c>
      <c r="B14" s="33">
        <v>19</v>
      </c>
      <c r="C14" s="43">
        <v>37868</v>
      </c>
      <c r="D14" s="43">
        <v>38410</v>
      </c>
      <c r="E14" s="21">
        <f t="shared" si="0"/>
        <v>542</v>
      </c>
      <c r="F14" s="31">
        <f t="shared" si="1"/>
        <v>157722</v>
      </c>
      <c r="G14" s="30">
        <v>2000</v>
      </c>
      <c r="H14" s="29">
        <f t="shared" si="2"/>
        <v>159722</v>
      </c>
    </row>
    <row r="15" spans="1:9">
      <c r="A15" s="34" t="s">
        <v>67</v>
      </c>
      <c r="B15" s="33" t="s">
        <v>66</v>
      </c>
      <c r="C15" s="36">
        <v>967</v>
      </c>
      <c r="D15" s="36">
        <v>967</v>
      </c>
      <c r="E15" s="21">
        <f t="shared" si="0"/>
        <v>0</v>
      </c>
      <c r="F15" s="31">
        <f t="shared" si="1"/>
        <v>0</v>
      </c>
      <c r="G15" s="30">
        <v>2000</v>
      </c>
      <c r="H15" s="29">
        <f t="shared" si="2"/>
        <v>2000</v>
      </c>
    </row>
    <row r="16" spans="1:9">
      <c r="A16" s="34" t="s">
        <v>65</v>
      </c>
      <c r="B16" s="33">
        <v>21</v>
      </c>
      <c r="C16" s="36">
        <v>113</v>
      </c>
      <c r="D16" s="36">
        <v>113</v>
      </c>
      <c r="E16" s="21">
        <f t="shared" si="0"/>
        <v>0</v>
      </c>
      <c r="F16" s="31">
        <f t="shared" si="1"/>
        <v>0</v>
      </c>
      <c r="G16" s="30">
        <v>2000</v>
      </c>
      <c r="H16" s="29">
        <f t="shared" si="2"/>
        <v>2000</v>
      </c>
      <c r="I16" s="37"/>
    </row>
    <row r="17" spans="1:8">
      <c r="A17" s="34" t="s">
        <v>64</v>
      </c>
      <c r="B17" s="33">
        <v>23</v>
      </c>
      <c r="C17" s="32">
        <v>8027</v>
      </c>
      <c r="D17" s="32">
        <v>8110</v>
      </c>
      <c r="E17" s="21">
        <f t="shared" si="0"/>
        <v>83</v>
      </c>
      <c r="F17" s="31">
        <f t="shared" si="1"/>
        <v>24153</v>
      </c>
      <c r="G17" s="30">
        <v>2000</v>
      </c>
      <c r="H17" s="29">
        <f t="shared" si="2"/>
        <v>26153</v>
      </c>
    </row>
    <row r="18" spans="1:8">
      <c r="A18" s="34" t="s">
        <v>63</v>
      </c>
      <c r="B18" s="33">
        <v>25</v>
      </c>
      <c r="C18" s="32">
        <v>19972</v>
      </c>
      <c r="D18" s="32">
        <v>20329</v>
      </c>
      <c r="E18" s="21">
        <f t="shared" si="0"/>
        <v>357</v>
      </c>
      <c r="F18" s="31">
        <f t="shared" si="1"/>
        <v>103887</v>
      </c>
      <c r="G18" s="30">
        <v>2000</v>
      </c>
      <c r="H18" s="29">
        <f t="shared" si="2"/>
        <v>105887</v>
      </c>
    </row>
    <row r="19" spans="1:8">
      <c r="A19" s="34" t="s">
        <v>62</v>
      </c>
      <c r="B19" s="33" t="s">
        <v>61</v>
      </c>
      <c r="C19" s="32">
        <v>5433</v>
      </c>
      <c r="D19" s="32">
        <v>5506</v>
      </c>
      <c r="E19" s="21">
        <f t="shared" si="0"/>
        <v>73</v>
      </c>
      <c r="F19" s="31">
        <f t="shared" si="1"/>
        <v>21243</v>
      </c>
      <c r="G19" s="30">
        <v>2000</v>
      </c>
      <c r="H19" s="29">
        <f t="shared" si="2"/>
        <v>23243</v>
      </c>
    </row>
    <row r="20" spans="1:8">
      <c r="A20" s="34" t="s">
        <v>60</v>
      </c>
      <c r="B20" s="33" t="s">
        <v>59</v>
      </c>
      <c r="C20" s="36">
        <v>42</v>
      </c>
      <c r="D20" s="36">
        <v>42</v>
      </c>
      <c r="E20" s="21">
        <f t="shared" si="0"/>
        <v>0</v>
      </c>
      <c r="F20" s="31">
        <f t="shared" si="1"/>
        <v>0</v>
      </c>
      <c r="G20" s="30">
        <v>2000</v>
      </c>
      <c r="H20" s="29">
        <f t="shared" si="2"/>
        <v>2000</v>
      </c>
    </row>
    <row r="21" spans="1:8">
      <c r="A21" s="34" t="s">
        <v>58</v>
      </c>
      <c r="B21" s="33" t="s">
        <v>57</v>
      </c>
      <c r="C21" s="32">
        <v>41910</v>
      </c>
      <c r="D21" s="32">
        <v>42215</v>
      </c>
      <c r="E21" s="21">
        <f t="shared" si="0"/>
        <v>305</v>
      </c>
      <c r="F21" s="31">
        <f t="shared" si="1"/>
        <v>88755</v>
      </c>
      <c r="G21" s="30">
        <v>2000</v>
      </c>
      <c r="H21" s="29">
        <f t="shared" si="2"/>
        <v>90755</v>
      </c>
    </row>
    <row r="22" spans="1:8">
      <c r="A22" s="42" t="s">
        <v>56</v>
      </c>
      <c r="B22" s="33" t="s">
        <v>55</v>
      </c>
      <c r="C22" s="32">
        <v>20960</v>
      </c>
      <c r="D22" s="32">
        <v>21212</v>
      </c>
      <c r="E22" s="21">
        <f t="shared" si="0"/>
        <v>252</v>
      </c>
      <c r="F22" s="31">
        <f t="shared" si="1"/>
        <v>73332</v>
      </c>
      <c r="G22" s="30">
        <v>2000</v>
      </c>
      <c r="H22" s="29">
        <f t="shared" si="2"/>
        <v>75332</v>
      </c>
    </row>
    <row r="23" spans="1:8">
      <c r="A23" s="34" t="s">
        <v>54</v>
      </c>
      <c r="B23" s="33">
        <v>29</v>
      </c>
      <c r="C23" s="32">
        <v>819</v>
      </c>
      <c r="D23" s="32">
        <v>876</v>
      </c>
      <c r="E23" s="21">
        <f t="shared" si="0"/>
        <v>57</v>
      </c>
      <c r="F23" s="31">
        <f t="shared" si="1"/>
        <v>16587</v>
      </c>
      <c r="G23" s="30">
        <v>2000</v>
      </c>
      <c r="H23" s="29">
        <f t="shared" si="2"/>
        <v>18587</v>
      </c>
    </row>
    <row r="24" spans="1:8">
      <c r="A24" s="34" t="s">
        <v>53</v>
      </c>
      <c r="B24" s="33">
        <v>30</v>
      </c>
      <c r="C24" s="32">
        <v>9742</v>
      </c>
      <c r="D24" s="32">
        <v>9896</v>
      </c>
      <c r="E24" s="21">
        <f t="shared" si="0"/>
        <v>154</v>
      </c>
      <c r="F24" s="31">
        <f t="shared" si="1"/>
        <v>44814</v>
      </c>
      <c r="G24" s="30">
        <v>2000</v>
      </c>
      <c r="H24" s="29">
        <f t="shared" si="2"/>
        <v>46814</v>
      </c>
    </row>
    <row r="25" spans="1:8">
      <c r="A25" s="34" t="s">
        <v>52</v>
      </c>
      <c r="B25" s="33">
        <v>33</v>
      </c>
      <c r="C25" s="32">
        <v>9498</v>
      </c>
      <c r="D25" s="32">
        <v>9587</v>
      </c>
      <c r="E25" s="21">
        <f t="shared" si="0"/>
        <v>89</v>
      </c>
      <c r="F25" s="31">
        <f t="shared" si="1"/>
        <v>25899</v>
      </c>
      <c r="G25" s="30">
        <v>2000</v>
      </c>
      <c r="H25" s="29">
        <f t="shared" si="2"/>
        <v>27899</v>
      </c>
    </row>
    <row r="26" spans="1:8">
      <c r="A26" s="34" t="s">
        <v>51</v>
      </c>
      <c r="B26" s="33" t="s">
        <v>50</v>
      </c>
      <c r="C26" s="32">
        <v>25</v>
      </c>
      <c r="D26" s="32">
        <v>31</v>
      </c>
      <c r="E26" s="21">
        <f t="shared" si="0"/>
        <v>6</v>
      </c>
      <c r="F26" s="31">
        <f t="shared" si="1"/>
        <v>1746</v>
      </c>
      <c r="G26" s="30">
        <v>2000</v>
      </c>
      <c r="H26" s="29">
        <f t="shared" si="2"/>
        <v>3746</v>
      </c>
    </row>
    <row r="27" spans="1:8">
      <c r="A27" s="34" t="s">
        <v>49</v>
      </c>
      <c r="B27" s="33" t="s">
        <v>48</v>
      </c>
      <c r="C27" s="32">
        <v>6675</v>
      </c>
      <c r="D27" s="32">
        <v>6809</v>
      </c>
      <c r="E27" s="21">
        <f t="shared" si="0"/>
        <v>134</v>
      </c>
      <c r="F27" s="31">
        <f t="shared" si="1"/>
        <v>38994</v>
      </c>
      <c r="G27" s="30">
        <v>2000</v>
      </c>
      <c r="H27" s="29">
        <f t="shared" si="2"/>
        <v>40994</v>
      </c>
    </row>
    <row r="28" spans="1:8">
      <c r="A28" s="34" t="s">
        <v>47</v>
      </c>
      <c r="B28" s="33" t="s">
        <v>46</v>
      </c>
      <c r="C28" s="32">
        <v>5278</v>
      </c>
      <c r="D28" s="32">
        <v>5438</v>
      </c>
      <c r="E28" s="21">
        <f t="shared" si="0"/>
        <v>160</v>
      </c>
      <c r="F28" s="31">
        <f t="shared" si="1"/>
        <v>46560</v>
      </c>
      <c r="G28" s="30">
        <v>2000</v>
      </c>
      <c r="H28" s="29">
        <f t="shared" si="2"/>
        <v>48560</v>
      </c>
    </row>
    <row r="29" spans="1:8">
      <c r="A29" s="42" t="s">
        <v>45</v>
      </c>
      <c r="B29" s="33" t="s">
        <v>44</v>
      </c>
      <c r="C29" s="36">
        <v>39</v>
      </c>
      <c r="D29" s="36">
        <v>39</v>
      </c>
      <c r="E29" s="21">
        <f t="shared" si="0"/>
        <v>0</v>
      </c>
      <c r="F29" s="31">
        <f t="shared" si="1"/>
        <v>0</v>
      </c>
      <c r="G29" s="30">
        <v>2000</v>
      </c>
      <c r="H29" s="29">
        <f t="shared" si="2"/>
        <v>2000</v>
      </c>
    </row>
    <row r="30" spans="1:8">
      <c r="A30" s="34" t="s">
        <v>43</v>
      </c>
      <c r="B30" s="33">
        <v>42</v>
      </c>
      <c r="C30" s="32">
        <v>677</v>
      </c>
      <c r="D30" s="32">
        <v>805</v>
      </c>
      <c r="E30" s="21">
        <f t="shared" si="0"/>
        <v>128</v>
      </c>
      <c r="F30" s="31">
        <f t="shared" si="1"/>
        <v>37248</v>
      </c>
      <c r="G30" s="30">
        <v>2000</v>
      </c>
      <c r="H30" s="29">
        <f t="shared" si="2"/>
        <v>39248</v>
      </c>
    </row>
    <row r="31" spans="1:8">
      <c r="A31" s="34" t="s">
        <v>42</v>
      </c>
      <c r="B31" s="33">
        <v>43</v>
      </c>
      <c r="C31" s="32">
        <v>2275</v>
      </c>
      <c r="D31" s="32">
        <v>2357</v>
      </c>
      <c r="E31" s="21">
        <f t="shared" si="0"/>
        <v>82</v>
      </c>
      <c r="F31" s="31">
        <f t="shared" si="1"/>
        <v>23862</v>
      </c>
      <c r="G31" s="30">
        <v>2000</v>
      </c>
      <c r="H31" s="29">
        <f t="shared" si="2"/>
        <v>25862</v>
      </c>
    </row>
    <row r="32" spans="1:8">
      <c r="A32" s="34" t="s">
        <v>41</v>
      </c>
      <c r="B32" s="33">
        <v>44</v>
      </c>
      <c r="C32" s="32">
        <v>5861</v>
      </c>
      <c r="D32" s="32">
        <v>6005</v>
      </c>
      <c r="E32" s="21">
        <f t="shared" si="0"/>
        <v>144</v>
      </c>
      <c r="F32" s="31">
        <f t="shared" si="1"/>
        <v>41904</v>
      </c>
      <c r="G32" s="30">
        <v>2000</v>
      </c>
      <c r="H32" s="29">
        <f t="shared" si="2"/>
        <v>43904</v>
      </c>
    </row>
    <row r="33" spans="1:10">
      <c r="A33" s="42" t="s">
        <v>40</v>
      </c>
      <c r="B33" s="33">
        <v>45</v>
      </c>
      <c r="C33" s="32">
        <v>12115</v>
      </c>
      <c r="D33" s="32">
        <v>12181</v>
      </c>
      <c r="E33" s="21">
        <f t="shared" si="0"/>
        <v>66</v>
      </c>
      <c r="F33" s="31">
        <f t="shared" si="1"/>
        <v>19206</v>
      </c>
      <c r="G33" s="30">
        <v>2000</v>
      </c>
      <c r="H33" s="29">
        <f t="shared" si="2"/>
        <v>21206</v>
      </c>
      <c r="I33" s="37"/>
    </row>
    <row r="34" spans="1:10">
      <c r="A34" s="34" t="s">
        <v>39</v>
      </c>
      <c r="B34" s="33" t="s">
        <v>38</v>
      </c>
      <c r="C34" s="32">
        <v>4071</v>
      </c>
      <c r="D34" s="32">
        <v>4172</v>
      </c>
      <c r="E34" s="21">
        <f t="shared" si="0"/>
        <v>101</v>
      </c>
      <c r="F34" s="31">
        <f t="shared" si="1"/>
        <v>29391</v>
      </c>
      <c r="G34" s="30">
        <v>2000</v>
      </c>
      <c r="H34" s="29">
        <f t="shared" si="2"/>
        <v>31391</v>
      </c>
    </row>
    <row r="35" spans="1:10">
      <c r="A35" s="34" t="s">
        <v>37</v>
      </c>
      <c r="B35" s="33" t="s">
        <v>36</v>
      </c>
      <c r="C35" s="32">
        <v>7141</v>
      </c>
      <c r="D35" s="32">
        <v>7281</v>
      </c>
      <c r="E35" s="21">
        <f t="shared" ref="E35:E62" si="3">D35-C35</f>
        <v>140</v>
      </c>
      <c r="F35" s="31">
        <f t="shared" ref="F35:F62" si="4">$C$72*E35</f>
        <v>40740</v>
      </c>
      <c r="G35" s="30">
        <v>2000</v>
      </c>
      <c r="H35" s="29">
        <f t="shared" ref="H35:H62" si="5">G35+F35</f>
        <v>42740</v>
      </c>
    </row>
    <row r="36" spans="1:10">
      <c r="A36" s="34" t="s">
        <v>35</v>
      </c>
      <c r="B36" s="33">
        <v>49</v>
      </c>
      <c r="C36" s="32">
        <v>18938</v>
      </c>
      <c r="D36" s="32">
        <v>19176</v>
      </c>
      <c r="E36" s="21">
        <f t="shared" si="3"/>
        <v>238</v>
      </c>
      <c r="F36" s="31">
        <f t="shared" si="4"/>
        <v>69258</v>
      </c>
      <c r="G36" s="30">
        <v>2000</v>
      </c>
      <c r="H36" s="29">
        <f t="shared" si="5"/>
        <v>71258</v>
      </c>
    </row>
    <row r="37" spans="1:10">
      <c r="A37" s="34" t="s">
        <v>34</v>
      </c>
      <c r="B37" s="33" t="s">
        <v>33</v>
      </c>
      <c r="C37" s="32">
        <v>34258</v>
      </c>
      <c r="D37" s="32">
        <v>34798</v>
      </c>
      <c r="E37" s="21">
        <f t="shared" si="3"/>
        <v>540</v>
      </c>
      <c r="F37" s="31">
        <f t="shared" si="4"/>
        <v>157140</v>
      </c>
      <c r="G37" s="30">
        <v>2000</v>
      </c>
      <c r="H37" s="29">
        <f t="shared" si="5"/>
        <v>159140</v>
      </c>
    </row>
    <row r="38" spans="1:10">
      <c r="A38" s="34" t="s">
        <v>32</v>
      </c>
      <c r="B38" s="33" t="s">
        <v>31</v>
      </c>
      <c r="C38" s="32">
        <v>2057</v>
      </c>
      <c r="D38" s="32">
        <v>2099</v>
      </c>
      <c r="E38" s="21">
        <f t="shared" si="3"/>
        <v>42</v>
      </c>
      <c r="F38" s="31">
        <f t="shared" si="4"/>
        <v>12222</v>
      </c>
      <c r="G38" s="30">
        <v>2000</v>
      </c>
      <c r="H38" s="29">
        <f t="shared" si="5"/>
        <v>14222</v>
      </c>
    </row>
    <row r="39" spans="1:10">
      <c r="A39" s="34" t="s">
        <v>30</v>
      </c>
      <c r="B39" s="33">
        <v>60</v>
      </c>
      <c r="C39" s="32">
        <v>6564</v>
      </c>
      <c r="D39" s="32">
        <v>6999</v>
      </c>
      <c r="E39" s="21">
        <f t="shared" si="3"/>
        <v>435</v>
      </c>
      <c r="F39" s="31">
        <f t="shared" si="4"/>
        <v>126585</v>
      </c>
      <c r="G39" s="30">
        <v>2000</v>
      </c>
      <c r="H39" s="29">
        <f t="shared" si="5"/>
        <v>128585</v>
      </c>
    </row>
    <row r="40" spans="1:10">
      <c r="A40" s="34" t="s">
        <v>29</v>
      </c>
      <c r="B40" s="33">
        <v>63</v>
      </c>
      <c r="C40" s="32">
        <v>46868</v>
      </c>
      <c r="D40" s="32">
        <v>47453</v>
      </c>
      <c r="E40" s="21">
        <f t="shared" si="3"/>
        <v>585</v>
      </c>
      <c r="F40" s="31">
        <f t="shared" si="4"/>
        <v>170235</v>
      </c>
      <c r="G40" s="30">
        <v>2000</v>
      </c>
      <c r="H40" s="29">
        <f t="shared" si="5"/>
        <v>172235</v>
      </c>
    </row>
    <row r="41" spans="1:10">
      <c r="A41" s="34" t="s">
        <v>28</v>
      </c>
      <c r="B41" s="33">
        <v>64</v>
      </c>
      <c r="C41" s="32">
        <v>5313</v>
      </c>
      <c r="D41" s="32">
        <v>5441</v>
      </c>
      <c r="E41" s="21">
        <f t="shared" si="3"/>
        <v>128</v>
      </c>
      <c r="F41" s="31">
        <f t="shared" si="4"/>
        <v>37248</v>
      </c>
      <c r="G41" s="30">
        <v>2000</v>
      </c>
      <c r="H41" s="29">
        <f t="shared" si="5"/>
        <v>39248</v>
      </c>
    </row>
    <row r="42" spans="1:10">
      <c r="A42" s="34" t="s">
        <v>27</v>
      </c>
      <c r="B42" s="33">
        <v>65</v>
      </c>
      <c r="C42" s="36">
        <v>136</v>
      </c>
      <c r="D42" s="36">
        <v>136</v>
      </c>
      <c r="E42" s="21">
        <f t="shared" si="3"/>
        <v>0</v>
      </c>
      <c r="F42" s="31">
        <f t="shared" si="4"/>
        <v>0</v>
      </c>
      <c r="G42" s="30">
        <v>2000</v>
      </c>
      <c r="H42" s="29">
        <f t="shared" si="5"/>
        <v>2000</v>
      </c>
    </row>
    <row r="43" spans="1:10">
      <c r="A43" s="34" t="s">
        <v>26</v>
      </c>
      <c r="B43" s="33">
        <v>66</v>
      </c>
      <c r="C43" s="32">
        <v>10002</v>
      </c>
      <c r="D43" s="32">
        <v>10269</v>
      </c>
      <c r="E43" s="21">
        <f t="shared" si="3"/>
        <v>267</v>
      </c>
      <c r="F43" s="31">
        <f t="shared" si="4"/>
        <v>77697</v>
      </c>
      <c r="G43" s="30">
        <v>2000</v>
      </c>
      <c r="H43" s="29">
        <f t="shared" si="5"/>
        <v>79697</v>
      </c>
    </row>
    <row r="44" spans="1:10">
      <c r="A44" s="34" t="s">
        <v>25</v>
      </c>
      <c r="B44" s="33">
        <v>68</v>
      </c>
      <c r="C44" s="32">
        <v>15451</v>
      </c>
      <c r="D44" s="32">
        <v>15852</v>
      </c>
      <c r="E44" s="21">
        <f t="shared" si="3"/>
        <v>401</v>
      </c>
      <c r="F44" s="31">
        <f t="shared" si="4"/>
        <v>116691</v>
      </c>
      <c r="G44" s="30">
        <v>2000</v>
      </c>
      <c r="H44" s="29">
        <f t="shared" si="5"/>
        <v>118691</v>
      </c>
    </row>
    <row r="45" spans="1:10">
      <c r="A45" s="34" t="s">
        <v>24</v>
      </c>
      <c r="B45" s="33">
        <v>71</v>
      </c>
      <c r="C45" s="32">
        <v>6741</v>
      </c>
      <c r="D45" s="32">
        <v>6829</v>
      </c>
      <c r="E45" s="40">
        <f t="shared" si="3"/>
        <v>88</v>
      </c>
      <c r="F45" s="29">
        <f t="shared" si="4"/>
        <v>25608</v>
      </c>
      <c r="G45" s="41">
        <v>2000</v>
      </c>
      <c r="H45" s="29">
        <f t="shared" si="5"/>
        <v>27608</v>
      </c>
    </row>
    <row r="46" spans="1:10">
      <c r="A46" s="34" t="s">
        <v>23</v>
      </c>
      <c r="B46" s="33">
        <v>73</v>
      </c>
      <c r="C46" s="36">
        <v>10</v>
      </c>
      <c r="D46" s="36">
        <v>10</v>
      </c>
      <c r="E46" s="21">
        <f t="shared" si="3"/>
        <v>0</v>
      </c>
      <c r="F46" s="31">
        <f t="shared" si="4"/>
        <v>0</v>
      </c>
      <c r="G46" s="30">
        <v>2000</v>
      </c>
      <c r="H46" s="29">
        <f t="shared" si="5"/>
        <v>2000</v>
      </c>
    </row>
    <row r="47" spans="1:10">
      <c r="A47" s="34" t="s">
        <v>22</v>
      </c>
      <c r="B47" s="33">
        <v>74</v>
      </c>
      <c r="C47" s="32">
        <v>636</v>
      </c>
      <c r="D47" s="32">
        <v>686</v>
      </c>
      <c r="E47" s="40">
        <f t="shared" si="3"/>
        <v>50</v>
      </c>
      <c r="F47" s="31">
        <f t="shared" si="4"/>
        <v>14550</v>
      </c>
      <c r="G47" s="30">
        <v>2000</v>
      </c>
      <c r="H47" s="29">
        <f t="shared" si="5"/>
        <v>16550</v>
      </c>
      <c r="J47" s="8"/>
    </row>
    <row r="48" spans="1:10">
      <c r="A48" s="34" t="s">
        <v>21</v>
      </c>
      <c r="B48" s="33">
        <v>75</v>
      </c>
      <c r="C48" s="36">
        <v>182</v>
      </c>
      <c r="D48" s="36">
        <v>182</v>
      </c>
      <c r="E48" s="21">
        <f t="shared" si="3"/>
        <v>0</v>
      </c>
      <c r="F48" s="31">
        <f t="shared" si="4"/>
        <v>0</v>
      </c>
      <c r="G48" s="30">
        <v>2000</v>
      </c>
      <c r="H48" s="29">
        <f t="shared" si="5"/>
        <v>2000</v>
      </c>
    </row>
    <row r="49" spans="1:9">
      <c r="A49" s="34" t="s">
        <v>20</v>
      </c>
      <c r="B49" s="33">
        <v>76</v>
      </c>
      <c r="C49" s="32">
        <v>9853</v>
      </c>
      <c r="D49" s="32">
        <v>10083</v>
      </c>
      <c r="E49" s="21">
        <f t="shared" si="3"/>
        <v>230</v>
      </c>
      <c r="F49" s="31">
        <f t="shared" si="4"/>
        <v>66930</v>
      </c>
      <c r="G49" s="30">
        <v>2000</v>
      </c>
      <c r="H49" s="29">
        <f t="shared" si="5"/>
        <v>68930</v>
      </c>
      <c r="I49" s="39"/>
    </row>
    <row r="50" spans="1:9">
      <c r="A50" s="38" t="s">
        <v>19</v>
      </c>
      <c r="B50" s="33">
        <v>77</v>
      </c>
      <c r="C50" s="32">
        <v>3303</v>
      </c>
      <c r="D50" s="32">
        <v>3333</v>
      </c>
      <c r="E50" s="21">
        <f t="shared" si="3"/>
        <v>30</v>
      </c>
      <c r="F50" s="31">
        <f t="shared" si="4"/>
        <v>8730</v>
      </c>
      <c r="G50" s="30">
        <v>2000</v>
      </c>
      <c r="H50" s="29">
        <f t="shared" si="5"/>
        <v>10730</v>
      </c>
    </row>
    <row r="51" spans="1:9">
      <c r="A51" s="34" t="s">
        <v>18</v>
      </c>
      <c r="B51" s="33">
        <v>78</v>
      </c>
      <c r="C51" s="32">
        <v>107</v>
      </c>
      <c r="D51" s="32">
        <v>109</v>
      </c>
      <c r="E51" s="21">
        <f t="shared" si="3"/>
        <v>2</v>
      </c>
      <c r="F51" s="31">
        <f t="shared" si="4"/>
        <v>582</v>
      </c>
      <c r="G51" s="30">
        <v>2000</v>
      </c>
      <c r="H51" s="29">
        <f t="shared" si="5"/>
        <v>2582</v>
      </c>
    </row>
    <row r="52" spans="1:9">
      <c r="A52" s="34" t="s">
        <v>17</v>
      </c>
      <c r="B52" s="33">
        <v>79</v>
      </c>
      <c r="C52" s="36">
        <v>22</v>
      </c>
      <c r="D52" s="36">
        <v>22</v>
      </c>
      <c r="E52" s="21">
        <f t="shared" si="3"/>
        <v>0</v>
      </c>
      <c r="F52" s="31">
        <f t="shared" si="4"/>
        <v>0</v>
      </c>
      <c r="G52" s="30">
        <v>2000</v>
      </c>
      <c r="H52" s="29">
        <f t="shared" si="5"/>
        <v>2000</v>
      </c>
    </row>
    <row r="53" spans="1:9">
      <c r="A53" s="34" t="s">
        <v>16</v>
      </c>
      <c r="B53" s="33">
        <v>80</v>
      </c>
      <c r="C53" s="32">
        <v>4620</v>
      </c>
      <c r="D53" s="32">
        <v>4774</v>
      </c>
      <c r="E53" s="21">
        <f t="shared" si="3"/>
        <v>154</v>
      </c>
      <c r="F53" s="31">
        <f t="shared" si="4"/>
        <v>44814</v>
      </c>
      <c r="G53" s="30">
        <v>2000</v>
      </c>
      <c r="H53" s="29">
        <f t="shared" si="5"/>
        <v>46814</v>
      </c>
    </row>
    <row r="54" spans="1:9">
      <c r="A54" s="34" t="s">
        <v>15</v>
      </c>
      <c r="B54" s="33">
        <v>81</v>
      </c>
      <c r="C54" s="36">
        <v>344</v>
      </c>
      <c r="D54" s="36">
        <v>371</v>
      </c>
      <c r="E54" s="21">
        <f t="shared" si="3"/>
        <v>27</v>
      </c>
      <c r="F54" s="31">
        <f t="shared" si="4"/>
        <v>7857</v>
      </c>
      <c r="G54" s="30">
        <v>2000</v>
      </c>
      <c r="H54" s="29">
        <f t="shared" si="5"/>
        <v>9857</v>
      </c>
    </row>
    <row r="55" spans="1:9">
      <c r="A55" s="34" t="s">
        <v>14</v>
      </c>
      <c r="B55" s="33">
        <v>82</v>
      </c>
      <c r="C55" s="32">
        <v>4132</v>
      </c>
      <c r="D55" s="32">
        <v>4214</v>
      </c>
      <c r="E55" s="21">
        <f t="shared" si="3"/>
        <v>82</v>
      </c>
      <c r="F55" s="31">
        <f t="shared" si="4"/>
        <v>23862</v>
      </c>
      <c r="G55" s="30">
        <v>2000</v>
      </c>
      <c r="H55" s="29">
        <f t="shared" si="5"/>
        <v>25862</v>
      </c>
    </row>
    <row r="56" spans="1:9">
      <c r="A56" s="34" t="s">
        <v>13</v>
      </c>
      <c r="B56" s="33">
        <v>85</v>
      </c>
      <c r="C56" s="32">
        <v>3162</v>
      </c>
      <c r="D56" s="32">
        <v>3231</v>
      </c>
      <c r="E56" s="21">
        <f t="shared" si="3"/>
        <v>69</v>
      </c>
      <c r="F56" s="31">
        <f t="shared" si="4"/>
        <v>20079</v>
      </c>
      <c r="G56" s="30">
        <v>2000</v>
      </c>
      <c r="H56" s="29">
        <f t="shared" si="5"/>
        <v>22079</v>
      </c>
    </row>
    <row r="57" spans="1:9">
      <c r="A57" s="34" t="s">
        <v>12</v>
      </c>
      <c r="B57" s="33">
        <v>87</v>
      </c>
      <c r="C57" s="36">
        <v>190</v>
      </c>
      <c r="D57" s="36">
        <v>190</v>
      </c>
      <c r="E57" s="21">
        <f t="shared" si="3"/>
        <v>0</v>
      </c>
      <c r="F57" s="31">
        <f t="shared" si="4"/>
        <v>0</v>
      </c>
      <c r="G57" s="30">
        <v>2000</v>
      </c>
      <c r="H57" s="29">
        <f t="shared" si="5"/>
        <v>2000</v>
      </c>
    </row>
    <row r="58" spans="1:9">
      <c r="A58" s="34" t="s">
        <v>11</v>
      </c>
      <c r="B58" s="33">
        <v>89</v>
      </c>
      <c r="C58" s="32">
        <v>231</v>
      </c>
      <c r="D58" s="32">
        <v>333</v>
      </c>
      <c r="E58" s="21">
        <f t="shared" si="3"/>
        <v>102</v>
      </c>
      <c r="F58" s="31">
        <f t="shared" si="4"/>
        <v>29682</v>
      </c>
      <c r="G58" s="30">
        <v>2000</v>
      </c>
      <c r="H58" s="29">
        <f t="shared" si="5"/>
        <v>31682</v>
      </c>
      <c r="I58" s="37"/>
    </row>
    <row r="59" spans="1:9">
      <c r="A59" s="34" t="s">
        <v>10</v>
      </c>
      <c r="B59" s="33">
        <v>95</v>
      </c>
      <c r="C59" s="36">
        <v>9</v>
      </c>
      <c r="D59" s="36">
        <v>9</v>
      </c>
      <c r="E59" s="21">
        <f t="shared" si="3"/>
        <v>0</v>
      </c>
      <c r="F59" s="31">
        <f t="shared" si="4"/>
        <v>0</v>
      </c>
      <c r="G59" s="30">
        <v>2000</v>
      </c>
      <c r="H59" s="29">
        <f t="shared" si="5"/>
        <v>2000</v>
      </c>
      <c r="I59" s="35"/>
    </row>
    <row r="60" spans="1:9">
      <c r="A60" s="34" t="s">
        <v>9</v>
      </c>
      <c r="B60" s="33">
        <v>96</v>
      </c>
      <c r="C60" s="32">
        <v>438</v>
      </c>
      <c r="D60" s="32">
        <v>560</v>
      </c>
      <c r="E60" s="21">
        <f t="shared" si="3"/>
        <v>122</v>
      </c>
      <c r="F60" s="31">
        <f t="shared" si="4"/>
        <v>35502</v>
      </c>
      <c r="G60" s="30">
        <v>2000</v>
      </c>
      <c r="H60" s="29">
        <f t="shared" si="5"/>
        <v>37502</v>
      </c>
      <c r="I60" s="35"/>
    </row>
    <row r="61" spans="1:9">
      <c r="A61" s="34" t="s">
        <v>8</v>
      </c>
      <c r="B61" s="33">
        <v>112</v>
      </c>
      <c r="C61" s="32">
        <v>8877</v>
      </c>
      <c r="D61" s="32">
        <v>9071</v>
      </c>
      <c r="E61" s="21">
        <f t="shared" si="3"/>
        <v>194</v>
      </c>
      <c r="F61" s="31">
        <f t="shared" si="4"/>
        <v>56454</v>
      </c>
      <c r="G61" s="30">
        <v>2000</v>
      </c>
      <c r="H61" s="29">
        <f t="shared" si="5"/>
        <v>58454</v>
      </c>
    </row>
    <row r="62" spans="1:9">
      <c r="A62" s="28" t="s">
        <v>7</v>
      </c>
      <c r="B62" s="27">
        <v>115</v>
      </c>
      <c r="C62" s="26">
        <v>269</v>
      </c>
      <c r="D62" s="26">
        <v>285</v>
      </c>
      <c r="E62" s="25">
        <f t="shared" si="3"/>
        <v>16</v>
      </c>
      <c r="F62" s="24">
        <f t="shared" si="4"/>
        <v>4656</v>
      </c>
      <c r="G62" s="23">
        <v>2000</v>
      </c>
      <c r="H62" s="22">
        <f t="shared" si="5"/>
        <v>6656</v>
      </c>
    </row>
    <row r="63" spans="1:9" ht="15.75">
      <c r="B63" s="21"/>
      <c r="C63" s="21"/>
      <c r="D63" s="21"/>
      <c r="E63" s="20">
        <f>SUM(E3:E62)</f>
        <v>8951</v>
      </c>
      <c r="F63" s="16">
        <f>SUM(F3:F62)</f>
        <v>2604741</v>
      </c>
      <c r="G63" s="16">
        <f>SUM(G3:G62)</f>
        <v>120000</v>
      </c>
      <c r="H63" s="16">
        <f>SUM(H3:H62)</f>
        <v>2724741</v>
      </c>
    </row>
    <row r="65" spans="2:10" ht="16.5" thickBot="1">
      <c r="E65" s="20"/>
      <c r="F65" s="16"/>
      <c r="G65" s="16"/>
      <c r="H65" s="16"/>
    </row>
    <row r="66" spans="2:10" ht="16.5" thickBot="1">
      <c r="B66" s="19" t="s">
        <v>6</v>
      </c>
      <c r="C66" s="18">
        <v>117781738</v>
      </c>
      <c r="F66" s="17"/>
      <c r="H66" s="16"/>
    </row>
    <row r="67" spans="2:10" ht="30">
      <c r="B67" s="14" t="s">
        <v>5</v>
      </c>
      <c r="C67" s="15">
        <v>9905</v>
      </c>
    </row>
    <row r="68" spans="2:10" ht="30">
      <c r="B68" s="14" t="s">
        <v>4</v>
      </c>
      <c r="C68" s="13">
        <v>2608666</v>
      </c>
    </row>
    <row r="69" spans="2:10" ht="30.75" thickBot="1">
      <c r="B69" s="12" t="s">
        <v>3</v>
      </c>
      <c r="C69" s="11">
        <v>45922</v>
      </c>
      <c r="J69" s="10"/>
    </row>
    <row r="70" spans="2:10" ht="15.75" thickBot="1">
      <c r="B70" s="9"/>
      <c r="C70" s="8"/>
    </row>
    <row r="71" spans="2:10">
      <c r="B71" s="7" t="s">
        <v>2</v>
      </c>
      <c r="C71" s="6">
        <f>C68/C67</f>
        <v>263.36860171630491</v>
      </c>
    </row>
    <row r="72" spans="2:10" ht="15.75" thickBot="1">
      <c r="B72" s="5" t="s">
        <v>1</v>
      </c>
      <c r="C72" s="4">
        <v>291</v>
      </c>
    </row>
    <row r="73" spans="2:10" ht="15.75" thickBot="1">
      <c r="F73" s="3"/>
    </row>
    <row r="74" spans="2:10" ht="16.5" thickBot="1">
      <c r="B74" s="2" t="s">
        <v>0</v>
      </c>
      <c r="C74" s="1">
        <f>H63-C68</f>
        <v>116075</v>
      </c>
    </row>
  </sheetData>
  <autoFilter ref="H2:H74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Sept-25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Arredondo Seron</dc:creator>
  <cp:lastModifiedBy>LENOVO</cp:lastModifiedBy>
  <dcterms:created xsi:type="dcterms:W3CDTF">2025-10-03T17:49:38Z</dcterms:created>
  <dcterms:modified xsi:type="dcterms:W3CDTF">2025-10-08T21:33:41Z</dcterms:modified>
</cp:coreProperties>
</file>